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yotiraditya\Downloads\"/>
    </mc:Choice>
  </mc:AlternateContent>
  <xr:revisionPtr revIDLastSave="0" documentId="13_ncr:1_{95D17C89-6856-4E8A-BB0F-D3D1101CAE2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ninaidevi_master_financia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2" i="1"/>
</calcChain>
</file>

<file path=xl/sharedStrings.xml><?xml version="1.0" encoding="utf-8"?>
<sst xmlns="http://schemas.openxmlformats.org/spreadsheetml/2006/main" count="29" uniqueCount="29">
  <si>
    <t>Year</t>
  </si>
  <si>
    <t>Capacity_Utilization_Pct</t>
  </si>
  <si>
    <t>Annual_Paddy_Processing_Tons</t>
  </si>
  <si>
    <t>Sales_Revenue_Rice_Lacs</t>
  </si>
  <si>
    <t>Sales_Revenue_Byproducts_Lacs</t>
  </si>
  <si>
    <t>Total_Sales_Revenue_Lacs</t>
  </si>
  <si>
    <t>Raw_Material_Cost_Lacs</t>
  </si>
  <si>
    <t>Consumables_Cost_Lacs</t>
  </si>
  <si>
    <t>Direct_Labour_Wages_Lacs</t>
  </si>
  <si>
    <t>Power_Fuel_Utilities_Lacs</t>
  </si>
  <si>
    <t>Repairs_Maintenance_Lacs</t>
  </si>
  <si>
    <t>Admin_Selling_Overheads_Lacs</t>
  </si>
  <si>
    <t>Interest_on_Term_Loan_Lacs</t>
  </si>
  <si>
    <t>Depreciation_WDV_Lacs</t>
  </si>
  <si>
    <t>Profit_Before_Tax_Lacs</t>
  </si>
  <si>
    <t>Income_Tax_Lacs</t>
  </si>
  <si>
    <t>Profit_After_Tax_Lacs</t>
  </si>
  <si>
    <t>Debt_Service_Coverage_Ratio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</si>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</sst>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abSelected="1" topLeftCell="K1" zoomScaleNormal="100" workbookViewId="0">
      <selection activeCell="T4" sqref="T4"/>
    </sheetView>
  </sheetViews>
  <sheetFormatPr defaultColWidth="11.5546875" defaultRowHeight="13.2" x14ac:dyDescent="0.25"/>
  <cols>
    <col min="1" max="1" width="7.77734375" customWidth="1"/>
    <col min="2" max="2" width="21.33203125" customWidth="1"/>
    <col min="3" max="3" width="28.21875" customWidth="1"/>
    <col min="4" max="4" width="23.6640625" customWidth="1"/>
    <col min="5" max="5" width="29.21875" customWidth="1"/>
    <col min="6" max="6" width="24.109375" customWidth="1"/>
    <col min="7" max="7" width="22" customWidth="1"/>
    <col min="8" max="8" width="22.109375" customWidth="1"/>
    <col min="9" max="9" width="24.109375" customWidth="1"/>
    <col min="10" max="10" width="22.88671875" customWidth="1"/>
    <col min="11" max="11" width="23.77734375" customWidth="1"/>
    <col min="12" max="12" width="27.77734375" customWidth="1"/>
    <col min="13" max="13" width="25.5546875" customWidth="1"/>
    <col min="14" max="14" width="21.5546875" customWidth="1"/>
    <col min="15" max="15" width="21" customWidth="1"/>
    <col min="16" max="16" width="16.44140625" customWidth="1"/>
    <col min="17" max="17" width="19.6640625" customWidth="1"/>
    <col min="18" max="18" width="26.2187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28</v>
      </c>
    </row>
    <row r="2" spans="1:19" x14ac:dyDescent="0.25">
      <c r="A2" t="s">
        <v>18</v>
      </c>
      <c r="B2">
        <v>70</v>
      </c>
      <c r="C2">
        <v>6720</v>
      </c>
      <c r="D2">
        <v>766.28</v>
      </c>
      <c r="E2">
        <v>67.33</v>
      </c>
      <c r="F2">
        <v>837.77</v>
      </c>
      <c r="G2">
        <v>693.22</v>
      </c>
      <c r="H2">
        <v>2.71</v>
      </c>
      <c r="I2">
        <v>20.100000000000001</v>
      </c>
      <c r="J2">
        <v>20.34</v>
      </c>
      <c r="K2">
        <v>6.7</v>
      </c>
      <c r="L2">
        <v>16.38</v>
      </c>
      <c r="M2">
        <v>22.29</v>
      </c>
      <c r="N2">
        <v>32.29</v>
      </c>
      <c r="O2">
        <v>46.42</v>
      </c>
      <c r="P2">
        <v>15.47</v>
      </c>
      <c r="Q2">
        <v>30.94</v>
      </c>
      <c r="R2">
        <v>1.55</v>
      </c>
      <c r="S2">
        <f>SUM(G2:G11,J2:J11,I2:I11,L2:L11)</f>
        <v>8285.91</v>
      </c>
    </row>
    <row r="3" spans="1:19" x14ac:dyDescent="0.25">
      <c r="A3" t="s">
        <v>19</v>
      </c>
      <c r="B3">
        <v>70</v>
      </c>
      <c r="C3">
        <v>6720</v>
      </c>
      <c r="D3">
        <v>766.28</v>
      </c>
      <c r="E3">
        <v>99.05</v>
      </c>
      <c r="F3">
        <v>869.66</v>
      </c>
      <c r="G3">
        <v>693.22</v>
      </c>
      <c r="H3">
        <v>2.71</v>
      </c>
      <c r="I3">
        <v>21.11</v>
      </c>
      <c r="J3">
        <v>20.34</v>
      </c>
      <c r="K3">
        <v>6.7</v>
      </c>
      <c r="L3">
        <v>16.79</v>
      </c>
      <c r="M3">
        <v>20.9</v>
      </c>
      <c r="N3">
        <v>28.01</v>
      </c>
      <c r="O3">
        <v>50.86</v>
      </c>
      <c r="P3">
        <v>16.96</v>
      </c>
      <c r="Q3">
        <v>33.909999999999997</v>
      </c>
      <c r="R3">
        <v>1.5</v>
      </c>
      <c r="S3">
        <f t="shared" ref="S3:S11" si="0">SUM(G3:G12,J3:J12,I3:I12,L3:L12)</f>
        <v>7535.8699999999972</v>
      </c>
    </row>
    <row r="4" spans="1:19" x14ac:dyDescent="0.25">
      <c r="A4" t="s">
        <v>20</v>
      </c>
      <c r="B4">
        <v>75</v>
      </c>
      <c r="C4">
        <v>7200</v>
      </c>
      <c r="D4">
        <v>821.02</v>
      </c>
      <c r="E4">
        <v>103.86</v>
      </c>
      <c r="F4">
        <v>931.78</v>
      </c>
      <c r="G4">
        <v>742.74</v>
      </c>
      <c r="H4">
        <v>2.9</v>
      </c>
      <c r="I4">
        <v>22.11</v>
      </c>
      <c r="J4">
        <v>21.79</v>
      </c>
      <c r="K4">
        <v>7.18</v>
      </c>
      <c r="L4">
        <v>17.78</v>
      </c>
      <c r="M4">
        <v>17.18</v>
      </c>
      <c r="N4">
        <v>24.3</v>
      </c>
      <c r="O4">
        <v>66.56</v>
      </c>
      <c r="P4">
        <v>22.19</v>
      </c>
      <c r="Q4">
        <v>44.37</v>
      </c>
      <c r="R4">
        <v>1.36</v>
      </c>
      <c r="S4">
        <f t="shared" si="0"/>
        <v>6784.4099999999971</v>
      </c>
    </row>
    <row r="5" spans="1:19" x14ac:dyDescent="0.25">
      <c r="A5" t="s">
        <v>21</v>
      </c>
      <c r="B5">
        <v>75</v>
      </c>
      <c r="C5">
        <v>7200</v>
      </c>
      <c r="D5">
        <v>821.02</v>
      </c>
      <c r="E5">
        <v>103.86</v>
      </c>
      <c r="F5">
        <v>929.5</v>
      </c>
      <c r="G5">
        <v>742.74</v>
      </c>
      <c r="H5">
        <v>2.9</v>
      </c>
      <c r="I5">
        <v>23.12</v>
      </c>
      <c r="J5">
        <v>21.79</v>
      </c>
      <c r="K5">
        <v>7.18</v>
      </c>
      <c r="L5">
        <v>18.2</v>
      </c>
      <c r="M5">
        <v>13.47</v>
      </c>
      <c r="N5">
        <v>21.11</v>
      </c>
      <c r="O5">
        <v>72.11</v>
      </c>
      <c r="P5">
        <v>24.04</v>
      </c>
      <c r="Q5">
        <v>48.07</v>
      </c>
      <c r="R5">
        <v>1.33</v>
      </c>
      <c r="S5">
        <f t="shared" si="0"/>
        <v>5979.989999999998</v>
      </c>
    </row>
    <row r="6" spans="1:19" x14ac:dyDescent="0.25">
      <c r="A6" t="s">
        <v>22</v>
      </c>
      <c r="B6">
        <v>80</v>
      </c>
      <c r="C6">
        <v>7680</v>
      </c>
      <c r="D6">
        <v>875.75</v>
      </c>
      <c r="E6">
        <v>110.94</v>
      </c>
      <c r="F6">
        <v>991.62</v>
      </c>
      <c r="G6">
        <v>792.25</v>
      </c>
      <c r="H6">
        <v>3.1</v>
      </c>
      <c r="I6">
        <v>24.12</v>
      </c>
      <c r="J6">
        <v>23.24</v>
      </c>
      <c r="K6">
        <v>7.66</v>
      </c>
      <c r="L6">
        <v>19.190000000000001</v>
      </c>
      <c r="M6">
        <v>9.75</v>
      </c>
      <c r="N6">
        <v>18.350000000000001</v>
      </c>
      <c r="O6">
        <v>86.84</v>
      </c>
      <c r="P6">
        <v>28.95</v>
      </c>
      <c r="Q6">
        <v>57.89</v>
      </c>
      <c r="R6">
        <v>1.22</v>
      </c>
      <c r="S6">
        <f t="shared" si="0"/>
        <v>5174.1399999999985</v>
      </c>
    </row>
    <row r="7" spans="1:19" x14ac:dyDescent="0.25">
      <c r="A7" t="s">
        <v>23</v>
      </c>
      <c r="B7">
        <v>80</v>
      </c>
      <c r="C7">
        <v>7680</v>
      </c>
      <c r="D7">
        <v>875.75</v>
      </c>
      <c r="E7">
        <v>113.2</v>
      </c>
      <c r="F7">
        <v>993.9</v>
      </c>
      <c r="G7">
        <v>792.25</v>
      </c>
      <c r="H7">
        <v>3.1</v>
      </c>
      <c r="I7">
        <v>25.13</v>
      </c>
      <c r="J7">
        <v>23.24</v>
      </c>
      <c r="K7">
        <v>7.66</v>
      </c>
      <c r="L7">
        <v>19.61</v>
      </c>
      <c r="M7">
        <v>6.04</v>
      </c>
      <c r="N7">
        <v>15.96</v>
      </c>
      <c r="O7">
        <v>91.58</v>
      </c>
      <c r="P7">
        <v>30.53</v>
      </c>
      <c r="Q7">
        <v>61.05</v>
      </c>
      <c r="R7">
        <v>1.61</v>
      </c>
      <c r="S7">
        <f t="shared" si="0"/>
        <v>4315.3399999999992</v>
      </c>
    </row>
    <row r="8" spans="1:19" x14ac:dyDescent="0.25">
      <c r="A8" t="s">
        <v>24</v>
      </c>
      <c r="B8">
        <v>80</v>
      </c>
      <c r="C8">
        <v>7680</v>
      </c>
      <c r="D8">
        <v>875.75</v>
      </c>
      <c r="E8">
        <v>113.2</v>
      </c>
      <c r="F8">
        <v>993.9</v>
      </c>
      <c r="G8">
        <v>792.25</v>
      </c>
      <c r="H8">
        <v>3.1</v>
      </c>
      <c r="I8">
        <v>26.13</v>
      </c>
      <c r="J8">
        <v>23.24</v>
      </c>
      <c r="K8">
        <v>7.66</v>
      </c>
      <c r="L8">
        <v>20.02</v>
      </c>
      <c r="M8">
        <v>2.3199999999999998</v>
      </c>
      <c r="N8">
        <v>13.9</v>
      </c>
      <c r="O8">
        <v>95.98</v>
      </c>
      <c r="P8">
        <v>32</v>
      </c>
      <c r="Q8">
        <v>63.98</v>
      </c>
      <c r="R8">
        <v>6.2</v>
      </c>
      <c r="S8">
        <f t="shared" si="0"/>
        <v>3455.1099999999992</v>
      </c>
    </row>
    <row r="9" spans="1:19" x14ac:dyDescent="0.25">
      <c r="A9" t="s">
        <v>25</v>
      </c>
      <c r="B9">
        <v>80</v>
      </c>
      <c r="C9">
        <v>7680</v>
      </c>
      <c r="D9">
        <v>875.75</v>
      </c>
      <c r="E9">
        <v>113.2</v>
      </c>
      <c r="F9">
        <v>993.9</v>
      </c>
      <c r="G9">
        <v>792.25</v>
      </c>
      <c r="H9">
        <v>3.1</v>
      </c>
      <c r="I9">
        <v>27.14</v>
      </c>
      <c r="J9">
        <v>23.24</v>
      </c>
      <c r="K9">
        <v>7.66</v>
      </c>
      <c r="L9">
        <v>20.440000000000001</v>
      </c>
      <c r="M9">
        <v>0</v>
      </c>
      <c r="N9">
        <v>12.11</v>
      </c>
      <c r="O9">
        <v>98.7</v>
      </c>
      <c r="P9">
        <v>32</v>
      </c>
      <c r="Q9">
        <v>65.8</v>
      </c>
      <c r="R9">
        <v>6.09</v>
      </c>
      <c r="S9">
        <f t="shared" si="0"/>
        <v>2593.4699999999993</v>
      </c>
    </row>
    <row r="10" spans="1:19" x14ac:dyDescent="0.25">
      <c r="A10" t="s">
        <v>26</v>
      </c>
      <c r="B10">
        <v>80</v>
      </c>
      <c r="C10">
        <v>7680</v>
      </c>
      <c r="D10">
        <v>875.75</v>
      </c>
      <c r="E10">
        <v>113.2</v>
      </c>
      <c r="F10">
        <v>993.9</v>
      </c>
      <c r="G10">
        <v>792.25</v>
      </c>
      <c r="H10">
        <v>3.1</v>
      </c>
      <c r="I10">
        <v>29.15</v>
      </c>
      <c r="J10">
        <v>23.24</v>
      </c>
      <c r="K10">
        <v>7.66</v>
      </c>
      <c r="L10">
        <v>20.86</v>
      </c>
      <c r="M10">
        <v>0</v>
      </c>
      <c r="N10">
        <v>10.55</v>
      </c>
      <c r="O10">
        <v>98.86</v>
      </c>
      <c r="P10">
        <v>32</v>
      </c>
      <c r="Q10">
        <v>65.91</v>
      </c>
      <c r="R10">
        <v>5.98</v>
      </c>
      <c r="S10">
        <f t="shared" si="0"/>
        <v>1730.4</v>
      </c>
    </row>
    <row r="11" spans="1:19" x14ac:dyDescent="0.25">
      <c r="A11" t="s">
        <v>27</v>
      </c>
      <c r="B11">
        <v>80</v>
      </c>
      <c r="C11">
        <v>7680</v>
      </c>
      <c r="D11">
        <v>875.75</v>
      </c>
      <c r="E11">
        <v>113.2</v>
      </c>
      <c r="F11">
        <v>993.9</v>
      </c>
      <c r="G11">
        <v>792.25</v>
      </c>
      <c r="H11">
        <v>3.1</v>
      </c>
      <c r="I11">
        <v>28.14</v>
      </c>
      <c r="J11">
        <v>23.24</v>
      </c>
      <c r="K11">
        <v>7.66</v>
      </c>
      <c r="L11">
        <v>21.27</v>
      </c>
      <c r="M11">
        <v>0</v>
      </c>
      <c r="N11">
        <v>9.2200000000000006</v>
      </c>
      <c r="O11">
        <v>98.81</v>
      </c>
      <c r="P11">
        <v>32</v>
      </c>
      <c r="Q11">
        <v>65.87</v>
      </c>
      <c r="R11">
        <v>6</v>
      </c>
      <c r="S11">
        <f t="shared" si="0"/>
        <v>864.9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ninaidevi_master_financials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Jyotiraditya Jadhav</cp:lastModifiedBy>
  <cp:revision>0</cp:revision>
  <dcterms:modified xsi:type="dcterms:W3CDTF">2026-02-07T14:25:39Z</dcterms:modified>
  <dc:language>en-US</dc:language>
</cp:coreProperties>
</file>